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ummary" sheetId="1" state="visible" r:id="rId3"/>
    <sheet name="Zone Analysis" sheetId="2" state="visible" r:id="rId4"/>
    <sheet name="Accessorial Breakdown" sheetId="3" state="visible" r:id="rId5"/>
    <sheet name="State Summary" sheetId="4" state="visible" r:id="rId6"/>
    <sheet name="Savings Calculat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<sst xmlns="http://schemas.openxmlformats.org/spreadsheetml/2006/main" count="136" uniqueCount="114">
  <si>
    <t xml:space="preserve">Freight Invoice — KPI Summary Dashboard</t>
  </si>
  <si>
    <t xml:space="preserve">Invoice Period: Oct 22 – Nov 28, 2025   |   Source: UPS GFF Flat File</t>
  </si>
  <si>
    <t xml:space="preserve">INVOICE METRICS</t>
  </si>
  <si>
    <t xml:space="preserve">Metric</t>
  </si>
  <si>
    <t xml:space="preserve">Value</t>
  </si>
  <si>
    <t xml:space="preserve">% of Total</t>
  </si>
  <si>
    <t xml:space="preserve">vs. Industry Avg</t>
  </si>
  <si>
    <t xml:space="preserve">Status</t>
  </si>
  <si>
    <t xml:space="preserve">Notes</t>
  </si>
  <si>
    <t xml:space="preserve">Total Packages</t>
  </si>
  <si>
    <t xml:space="preserve">N/A</t>
  </si>
  <si>
    <t xml:space="preserve">✓ OK</t>
  </si>
  <si>
    <t xml:space="preserve">623 shipments processed Oct–Nov 2025</t>
  </si>
  <si>
    <t xml:space="preserve">Total Invoice ($)</t>
  </si>
  <si>
    <t xml:space="preserve">100%</t>
  </si>
  <si>
    <t xml:space="preserve">Freight + Fuel + Accessorial</t>
  </si>
  <si>
    <t xml:space="preserve">Freight Base ($)</t>
  </si>
  <si>
    <t xml:space="preserve">70–75% typical</t>
  </si>
  <si>
    <t xml:space="preserve">Base shipping charges</t>
  </si>
  <si>
    <t xml:space="preserve">Fuel Surcharge ($)</t>
  </si>
  <si>
    <t xml:space="preserve">10–11% typical</t>
  </si>
  <si>
    <t xml:space="preserve">⚠ High</t>
  </si>
  <si>
    <t xml:space="preserve">12.6% — above industry average</t>
  </si>
  <si>
    <t xml:space="preserve">Accessorial Charges ($)</t>
  </si>
  <si>
    <t xml:space="preserve">8–12% typical</t>
  </si>
  <si>
    <t xml:space="preserve">DAS and demand surcharges dominate</t>
  </si>
  <si>
    <t xml:space="preserve">Avg Cost / Package ($)</t>
  </si>
  <si>
    <t xml:space="preserve">$5–8 typical</t>
  </si>
  <si>
    <t xml:space="preserve">Surcharge cap negotiation opportunity</t>
  </si>
  <si>
    <t xml:space="preserve">Avg Billed Weight (lbs)</t>
  </si>
  <si>
    <t xml:space="preserve">Average across all 623 shipments</t>
  </si>
  <si>
    <t xml:space="preserve">% Pkgs with Accessorial</t>
  </si>
  <si>
    <t xml:space="preserve">25–35% typical</t>
  </si>
  <si>
    <t xml:space="preserve">289 of 623 carry extra charges</t>
  </si>
  <si>
    <t xml:space="preserve">Fuel Rate (% of Freight)</t>
  </si>
  <si>
    <t xml:space="preserve">Zone Distribution — Cost &amp; Volume Analysis</t>
  </si>
  <si>
    <t xml:space="preserve">Zone</t>
  </si>
  <si>
    <t xml:space="preserve">Zone Group</t>
  </si>
  <si>
    <t xml:space="preserve">Packages</t>
  </si>
  <si>
    <t xml:space="preserve">% of Volume</t>
  </si>
  <si>
    <t xml:space="preserve">Total Cost ($)</t>
  </si>
  <si>
    <t xml:space="preserve">Avg Cost / Pkg ($)</t>
  </si>
  <si>
    <t xml:space="preserve">Avg Weight (lbs)</t>
  </si>
  <si>
    <t xml:space="preserve">Near (Z1–3)</t>
  </si>
  <si>
    <t xml:space="preserve">Mid (Z4–6)</t>
  </si>
  <si>
    <t xml:space="preserve">Far (Z7–8)</t>
  </si>
  <si>
    <t xml:space="preserve">TOTAL</t>
  </si>
  <si>
    <t xml:space="preserve">Accessorial Charges — Cost Driver Analysis</t>
  </si>
  <si>
    <t xml:space="preserve">Charge Type</t>
  </si>
  <si>
    <t xml:space="preserve">Occurrences</t>
  </si>
  <si>
    <t xml:space="preserve">Avg / Occurrence ($)</t>
  </si>
  <si>
    <t xml:space="preserve">% of Accessorial Total</t>
  </si>
  <si>
    <t xml:space="preserve">Action Recommended</t>
  </si>
  <si>
    <t xml:space="preserve">Delivery Area Surcharge</t>
  </si>
  <si>
    <t xml:space="preserve">Consolidate rural ZIP shipments; request waiver</t>
  </si>
  <si>
    <t xml:space="preserve">Delivery Area Surcharge - Extended</t>
  </si>
  <si>
    <t xml:space="preserve">Merge with DAS batches; explore regional carrier</t>
  </si>
  <si>
    <t xml:space="preserve">Demand Surcharge - Residential</t>
  </si>
  <si>
    <t xml:space="preserve">Bundle B2C shipments; negotiate seasonal cap</t>
  </si>
  <si>
    <t xml:space="preserve">Remote Area Surcharge</t>
  </si>
  <si>
    <t xml:space="preserve">Flag addresses pre-ship; route via freight forwarder</t>
  </si>
  <si>
    <t xml:space="preserve">Residential Surcharge</t>
  </si>
  <si>
    <t xml:space="preserve">Verify B2B vs B2C classification at booking</t>
  </si>
  <si>
    <t xml:space="preserve">Not Previously Billed Missing PLD Fee</t>
  </si>
  <si>
    <t xml:space="preserve">Ensure all package-level detail submitted on time</t>
  </si>
  <si>
    <t xml:space="preserve">Not Previously Billed Delivery Area Surcharge - Extended</t>
  </si>
  <si>
    <t xml:space="preserve">Audit billing lag; correct submission timing</t>
  </si>
  <si>
    <t xml:space="preserve">Not Previously Billed Shipping Correction Fee</t>
  </si>
  <si>
    <t xml:space="preserve">Verify weights at time of booking</t>
  </si>
  <si>
    <t xml:space="preserve">TOTAL ACCESSORIALS</t>
  </si>
  <si>
    <t xml:space="preserve">Top 15 Destination States — Volume &amp; Cost</t>
  </si>
  <si>
    <t xml:space="preserve">Rank</t>
  </si>
  <si>
    <t xml:space="preserve">State</t>
  </si>
  <si>
    <t xml:space="preserve">% of Total Volume</t>
  </si>
  <si>
    <t xml:space="preserve">TX</t>
  </si>
  <si>
    <t xml:space="preserve">AL</t>
  </si>
  <si>
    <t xml:space="preserve">GA</t>
  </si>
  <si>
    <t xml:space="preserve">KY</t>
  </si>
  <si>
    <t xml:space="preserve">VA</t>
  </si>
  <si>
    <t xml:space="preserve">TN</t>
  </si>
  <si>
    <t xml:space="preserve">NC</t>
  </si>
  <si>
    <t xml:space="preserve">FL</t>
  </si>
  <si>
    <t xml:space="preserve">SC</t>
  </si>
  <si>
    <t xml:space="preserve">MO</t>
  </si>
  <si>
    <t xml:space="preserve">NY</t>
  </si>
  <si>
    <t xml:space="preserve">IL</t>
  </si>
  <si>
    <t xml:space="preserve">CO</t>
  </si>
  <si>
    <t xml:space="preserve">MS</t>
  </si>
  <si>
    <t xml:space="preserve">PA</t>
  </si>
  <si>
    <t xml:space="preserve">TOTAL (Top 15)</t>
  </si>
  <si>
    <t xml:space="preserve">Cost Optimization — Savings Calculator</t>
  </si>
  <si>
    <t xml:space="preserve">⚡ Change the blue cells to model different scenarios</t>
  </si>
  <si>
    <t xml:space="preserve">ASSUMPTIONS (Inputs)</t>
  </si>
  <si>
    <t xml:space="preserve">Current monthly invoice ($)</t>
  </si>
  <si>
    <t xml:space="preserve">Monthly shipment count</t>
  </si>
  <si>
    <t xml:space="preserve">Avg cost per shipment ($)</t>
  </si>
  <si>
    <t xml:space="preserve">Current fuel rate (% of freight)</t>
  </si>
  <si>
    <t xml:space="preserve">Current accessorial rate (% total)</t>
  </si>
  <si>
    <t xml:space="preserve">OPTIMIZATION SCENARIOS</t>
  </si>
  <si>
    <t xml:space="preserve">Initiative</t>
  </si>
  <si>
    <t xml:space="preserve">Target Reduction (%)</t>
  </si>
  <si>
    <t xml:space="preserve">Est. Monthly Savings ($)</t>
  </si>
  <si>
    <t xml:space="preserve">Est. Annual Savings ($)</t>
  </si>
  <si>
    <t xml:space="preserve">Effort</t>
  </si>
  <si>
    <t xml:space="preserve">Delivery Area Surcharge consolidation</t>
  </si>
  <si>
    <t xml:space="preserve">Medium</t>
  </si>
  <si>
    <t xml:space="preserve">Ground Saver volume discount</t>
  </si>
  <si>
    <t xml:space="preserve">Low</t>
  </si>
  <si>
    <t xml:space="preserve">Hundredweight consolidation</t>
  </si>
  <si>
    <t xml:space="preserve">High</t>
  </si>
  <si>
    <t xml:space="preserve">Fuel surcharge cap</t>
  </si>
  <si>
    <t xml:space="preserve">Regional carrier competition</t>
  </si>
  <si>
    <t xml:space="preserve">TOTAL POTENTIAL SAVINGS</t>
  </si>
  <si>
    <t xml:space="preserve">Combined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</si>
</sst>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General"/>
    <numFmt numFmtId="168" formatCode="#,##0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185FA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C0392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185FA5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28A745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C1A2E"/>
        <bgColor rgb="FF000000"/>
      </patternFill>
    </fill>
    <fill>
      <patternFill patternType="solid">
        <fgColor rgb="FF185FA5"/>
        <bgColor rgb="FF008080"/>
      </patternFill>
    </fill>
    <fill>
      <patternFill patternType="solid">
        <fgColor rgb="FFF5F9FF"/>
        <bgColor rgb="FFEFF6FF"/>
      </patternFill>
    </fill>
    <fill>
      <patternFill patternType="solid">
        <fgColor rgb="FFFFFFFF"/>
        <bgColor rgb="FFF5F9FF"/>
      </patternFill>
    </fill>
    <fill>
      <patternFill patternType="solid">
        <fgColor rgb="FFD4537E"/>
        <bgColor rgb="FFC0392B"/>
      </patternFill>
    </fill>
    <fill>
      <patternFill patternType="solid">
        <fgColor rgb="FFEFF6FF"/>
        <bgColor rgb="FFF5F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D4537E"/>
      <rgbColor rgb="FFF5F9FF"/>
      <rgbColor rgb="FFEFF6FF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8A745"/>
      <rgbColor rgb="FF0C1A2E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4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8" hidden="false" customHeight="true" outlineLevel="0" collapsed="false">
      <c r="A6" s="6" t="s">
        <v>9</v>
      </c>
      <c r="B6" s="7" t="n">
        <v>623</v>
      </c>
      <c r="C6" s="8"/>
      <c r="D6" s="6" t="s">
        <v>10</v>
      </c>
      <c r="E6" s="6" t="s">
        <v>11</v>
      </c>
      <c r="F6" s="6" t="s">
        <v>12</v>
      </c>
    </row>
    <row r="7" customFormat="false" ht="18" hidden="false" customHeight="true" outlineLevel="0" collapsed="false">
      <c r="A7" s="9" t="s">
        <v>13</v>
      </c>
      <c r="B7" s="10" t="n">
        <v>4056.11</v>
      </c>
      <c r="C7" s="11" t="s">
        <v>14</v>
      </c>
      <c r="D7" s="9" t="s">
        <v>10</v>
      </c>
      <c r="E7" s="9" t="s">
        <v>11</v>
      </c>
      <c r="F7" s="9" t="s">
        <v>15</v>
      </c>
    </row>
    <row r="8" customFormat="false" ht="18" hidden="false" customHeight="true" outlineLevel="0" collapsed="false">
      <c r="A8" s="6" t="s">
        <v>16</v>
      </c>
      <c r="B8" s="7" t="n">
        <v>2896.03</v>
      </c>
      <c r="C8" s="8" t="n">
        <f aca="false">B8/B7</f>
        <v>0.713991977535126</v>
      </c>
      <c r="D8" s="6" t="s">
        <v>17</v>
      </c>
      <c r="E8" s="6" t="s">
        <v>11</v>
      </c>
      <c r="F8" s="6" t="s">
        <v>18</v>
      </c>
    </row>
    <row r="9" customFormat="false" ht="18" hidden="false" customHeight="true" outlineLevel="0" collapsed="false">
      <c r="A9" s="9" t="s">
        <v>19</v>
      </c>
      <c r="B9" s="10" t="n">
        <v>511.92</v>
      </c>
      <c r="C9" s="11" t="n">
        <f aca="false">B9/B7</f>
        <v>0.126209594907436</v>
      </c>
      <c r="D9" s="9" t="s">
        <v>20</v>
      </c>
      <c r="E9" s="12" t="s">
        <v>21</v>
      </c>
      <c r="F9" s="9" t="s">
        <v>22</v>
      </c>
    </row>
    <row r="10" customFormat="false" ht="18" hidden="false" customHeight="true" outlineLevel="0" collapsed="false">
      <c r="A10" s="6" t="s">
        <v>23</v>
      </c>
      <c r="B10" s="7" t="n">
        <v>648.16</v>
      </c>
      <c r="C10" s="8" t="n">
        <f aca="false">B10/B7</f>
        <v>0.159798427557438</v>
      </c>
      <c r="D10" s="6" t="s">
        <v>24</v>
      </c>
      <c r="E10" s="13" t="s">
        <v>21</v>
      </c>
      <c r="F10" s="6" t="s">
        <v>25</v>
      </c>
    </row>
    <row r="11" customFormat="false" ht="18" hidden="false" customHeight="true" outlineLevel="0" collapsed="false">
      <c r="A11" s="9" t="s">
        <v>26</v>
      </c>
      <c r="B11" s="10" t="n">
        <f aca="false">B8/B6</f>
        <v>4.64852327447833</v>
      </c>
      <c r="C11" s="11"/>
      <c r="D11" s="9" t="s">
        <v>27</v>
      </c>
      <c r="E11" s="9" t="s">
        <v>11</v>
      </c>
      <c r="F11" s="9" t="s">
        <v>28</v>
      </c>
    </row>
    <row r="12" customFormat="false" ht="18" hidden="false" customHeight="true" outlineLevel="0" collapsed="false">
      <c r="A12" s="6" t="s">
        <v>29</v>
      </c>
      <c r="B12" s="7" t="n">
        <v>9.08</v>
      </c>
      <c r="C12" s="8"/>
      <c r="D12" s="6" t="s">
        <v>10</v>
      </c>
      <c r="E12" s="6" t="s">
        <v>11</v>
      </c>
      <c r="F12" s="6" t="s">
        <v>30</v>
      </c>
    </row>
    <row r="13" customFormat="false" ht="18" hidden="false" customHeight="true" outlineLevel="0" collapsed="false">
      <c r="A13" s="9" t="s">
        <v>31</v>
      </c>
      <c r="B13" s="10" t="n">
        <f aca="false">289/B6</f>
        <v>0.463884430176565</v>
      </c>
      <c r="C13" s="11"/>
      <c r="D13" s="9" t="s">
        <v>32</v>
      </c>
      <c r="E13" s="12" t="s">
        <v>21</v>
      </c>
      <c r="F13" s="9" t="s">
        <v>33</v>
      </c>
    </row>
    <row r="14" customFormat="false" ht="18" hidden="false" customHeight="true" outlineLevel="0" collapsed="false">
      <c r="A14" s="6" t="s">
        <v>34</v>
      </c>
      <c r="B14" s="7" t="n">
        <f aca="false">B9/B8</f>
        <v>0.176766124660311</v>
      </c>
      <c r="C14" s="8"/>
      <c r="D14" s="6" t="s">
        <v>20</v>
      </c>
      <c r="E14" s="13" t="s">
        <v>21</v>
      </c>
      <c r="F14" s="6" t="s">
        <v>28</v>
      </c>
    </row>
  </sheetData>
  <mergeCells count="3">
    <mergeCell ref="A1:F1"/>
    <mergeCell ref="A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7" min="6" style="1" width="18"/>
  </cols>
  <sheetData>
    <row r="1" customFormat="false" ht="31.5" hidden="false" customHeight="true" outlineLevel="0" collapsed="false">
      <c r="A1" s="14" t="s">
        <v>35</v>
      </c>
      <c r="B1" s="14"/>
      <c r="C1" s="14"/>
      <c r="D1" s="14"/>
      <c r="E1" s="14"/>
      <c r="F1" s="14"/>
      <c r="G1" s="14"/>
    </row>
    <row r="2" customFormat="false" ht="15" hidden="false" customHeight="true" outlineLevel="0" collapsed="false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</row>
    <row r="3" customFormat="false" ht="18" hidden="false" customHeight="true" outlineLevel="0" collapsed="false">
      <c r="A3" s="9" t="n">
        <v>3</v>
      </c>
      <c r="B3" s="9" t="s">
        <v>43</v>
      </c>
      <c r="C3" s="9" t="n">
        <v>34</v>
      </c>
      <c r="D3" s="11" t="n">
        <f aca="false">C3/SUM($C$3:$C$8)</f>
        <v>0.0545746388443018</v>
      </c>
      <c r="E3" s="10" t="n">
        <v>76.02</v>
      </c>
      <c r="F3" s="10" t="n">
        <v>2.24</v>
      </c>
      <c r="G3" s="10" t="n">
        <v>13.24</v>
      </c>
    </row>
    <row r="4" customFormat="false" ht="18" hidden="false" customHeight="true" outlineLevel="0" collapsed="false">
      <c r="A4" s="6" t="n">
        <v>4</v>
      </c>
      <c r="B4" s="6" t="s">
        <v>44</v>
      </c>
      <c r="C4" s="6" t="n">
        <v>124</v>
      </c>
      <c r="D4" s="8" t="n">
        <f aca="false">C4/SUM($C$3:$C$8)</f>
        <v>0.199036918138042</v>
      </c>
      <c r="E4" s="7" t="n">
        <v>197.56</v>
      </c>
      <c r="F4" s="7" t="n">
        <v>1.59</v>
      </c>
      <c r="G4" s="7" t="n">
        <v>11.72</v>
      </c>
    </row>
    <row r="5" customFormat="false" ht="18" hidden="false" customHeight="true" outlineLevel="0" collapsed="false">
      <c r="A5" s="9" t="n">
        <v>5</v>
      </c>
      <c r="B5" s="9" t="s">
        <v>44</v>
      </c>
      <c r="C5" s="9" t="n">
        <v>164</v>
      </c>
      <c r="D5" s="11" t="n">
        <f aca="false">C5/SUM($C$3:$C$8)</f>
        <v>0.263242375601926</v>
      </c>
      <c r="E5" s="10" t="n">
        <v>1159.93</v>
      </c>
      <c r="F5" s="10" t="n">
        <v>7.07</v>
      </c>
      <c r="G5" s="10" t="n">
        <v>8.86</v>
      </c>
    </row>
    <row r="6" customFormat="false" ht="18" hidden="false" customHeight="true" outlineLevel="0" collapsed="false">
      <c r="A6" s="6" t="n">
        <v>6</v>
      </c>
      <c r="B6" s="6" t="s">
        <v>44</v>
      </c>
      <c r="C6" s="6" t="n">
        <v>181</v>
      </c>
      <c r="D6" s="8" t="n">
        <f aca="false">C6/SUM($C$3:$C$8)</f>
        <v>0.290529695024077</v>
      </c>
      <c r="E6" s="7" t="n">
        <v>1433.75</v>
      </c>
      <c r="F6" s="7" t="n">
        <v>7.92</v>
      </c>
      <c r="G6" s="7" t="n">
        <v>8.61</v>
      </c>
    </row>
    <row r="7" customFormat="false" ht="18" hidden="false" customHeight="true" outlineLevel="0" collapsed="false">
      <c r="A7" s="9" t="n">
        <v>7</v>
      </c>
      <c r="B7" s="9" t="s">
        <v>45</v>
      </c>
      <c r="C7" s="9" t="n">
        <v>116</v>
      </c>
      <c r="D7" s="11" t="n">
        <f aca="false">C7/SUM($C$3:$C$8)</f>
        <v>0.186195826645265</v>
      </c>
      <c r="E7" s="10" t="n">
        <v>1139.86</v>
      </c>
      <c r="F7" s="10" t="n">
        <v>9.83</v>
      </c>
      <c r="G7" s="10" t="n">
        <v>6.23</v>
      </c>
    </row>
    <row r="8" customFormat="false" ht="18" hidden="false" customHeight="true" outlineLevel="0" collapsed="false">
      <c r="A8" s="6" t="n">
        <v>8</v>
      </c>
      <c r="B8" s="6" t="s">
        <v>45</v>
      </c>
      <c r="C8" s="6" t="n">
        <v>4</v>
      </c>
      <c r="D8" s="8" t="n">
        <f aca="false">C8/SUM($C$3:$C$8)</f>
        <v>0.00642054574638844</v>
      </c>
      <c r="E8" s="7" t="n">
        <v>48.99</v>
      </c>
      <c r="F8" s="7" t="n">
        <v>12.25</v>
      </c>
      <c r="G8" s="7" t="n">
        <v>4.55</v>
      </c>
    </row>
    <row r="9" customFormat="false" ht="15" hidden="false" customHeight="true" outlineLevel="0" collapsed="false">
      <c r="A9" s="15" t="s">
        <v>46</v>
      </c>
      <c r="B9" s="15"/>
      <c r="C9" s="16" t="n">
        <f aca="false">SUM(C3:C8)</f>
        <v>623</v>
      </c>
      <c r="D9" s="16" t="s">
        <v>14</v>
      </c>
      <c r="E9" s="17" t="n">
        <f aca="false">SUM(E3:E8)</f>
        <v>4056.11</v>
      </c>
      <c r="F9" s="17" t="n">
        <f aca="false">E9/C9</f>
        <v>6.51060995184591</v>
      </c>
      <c r="G9" s="16"/>
    </row>
  </sheetData>
  <mergeCells count="2">
    <mergeCell ref="A1:G1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44"/>
  </cols>
  <sheetData>
    <row r="1" customFormat="false" ht="31.5" hidden="false" customHeight="true" outlineLevel="0" collapsed="false">
      <c r="A1" s="14" t="s">
        <v>47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5" t="s">
        <v>48</v>
      </c>
      <c r="B2" s="5" t="s">
        <v>49</v>
      </c>
      <c r="C2" s="5" t="s">
        <v>40</v>
      </c>
      <c r="D2" s="5" t="s">
        <v>50</v>
      </c>
      <c r="E2" s="5" t="s">
        <v>51</v>
      </c>
      <c r="F2" s="5" t="s">
        <v>52</v>
      </c>
    </row>
    <row r="3" customFormat="false" ht="18" hidden="false" customHeight="true" outlineLevel="0" collapsed="false">
      <c r="A3" s="18" t="s">
        <v>53</v>
      </c>
      <c r="B3" s="9" t="n">
        <v>59</v>
      </c>
      <c r="C3" s="10" t="n">
        <v>254.13</v>
      </c>
      <c r="D3" s="10" t="n">
        <v>4.31</v>
      </c>
      <c r="E3" s="11" t="n">
        <f aca="false">C3/SUM($C$3:$C$10)</f>
        <v>0.377562845426992</v>
      </c>
      <c r="F3" s="18" t="s">
        <v>54</v>
      </c>
    </row>
    <row r="4" customFormat="false" ht="18" hidden="false" customHeight="true" outlineLevel="0" collapsed="false">
      <c r="A4" s="19" t="s">
        <v>55</v>
      </c>
      <c r="B4" s="6" t="n">
        <v>28</v>
      </c>
      <c r="C4" s="7" t="n">
        <v>167.86</v>
      </c>
      <c r="D4" s="7" t="n">
        <v>5.99</v>
      </c>
      <c r="E4" s="8" t="n">
        <f aca="false">C4/SUM($C$3:$C$10)</f>
        <v>0.249390859927498</v>
      </c>
      <c r="F4" s="19" t="s">
        <v>56</v>
      </c>
    </row>
    <row r="5" customFormat="false" ht="18" hidden="false" customHeight="true" outlineLevel="0" collapsed="false">
      <c r="A5" s="18" t="s">
        <v>57</v>
      </c>
      <c r="B5" s="9" t="n">
        <v>284</v>
      </c>
      <c r="C5" s="10" t="n">
        <v>117.5</v>
      </c>
      <c r="D5" s="10" t="n">
        <v>0.41</v>
      </c>
      <c r="E5" s="11" t="n">
        <f aca="false">C5/SUM($C$3:$C$10)</f>
        <v>0.17457063053426</v>
      </c>
      <c r="F5" s="18" t="s">
        <v>58</v>
      </c>
    </row>
    <row r="6" customFormat="false" ht="18" hidden="false" customHeight="true" outlineLevel="0" collapsed="false">
      <c r="A6" s="19" t="s">
        <v>59</v>
      </c>
      <c r="B6" s="6" t="n">
        <v>6</v>
      </c>
      <c r="C6" s="7" t="n">
        <v>92.1</v>
      </c>
      <c r="D6" s="7" t="n">
        <v>15.35</v>
      </c>
      <c r="E6" s="8" t="n">
        <f aca="false">C6/SUM($C$3:$C$10)</f>
        <v>0.136833660188982</v>
      </c>
      <c r="F6" s="19" t="s">
        <v>60</v>
      </c>
    </row>
    <row r="7" customFormat="false" ht="18" hidden="false" customHeight="true" outlineLevel="0" collapsed="false">
      <c r="A7" s="18" t="s">
        <v>61</v>
      </c>
      <c r="B7" s="9" t="n">
        <v>8</v>
      </c>
      <c r="C7" s="10" t="n">
        <v>24.57</v>
      </c>
      <c r="D7" s="10" t="n">
        <v>3.07</v>
      </c>
      <c r="E7" s="11" t="n">
        <f aca="false">C7/SUM($C$3:$C$10)</f>
        <v>0.0365038331253343</v>
      </c>
      <c r="F7" s="18" t="s">
        <v>62</v>
      </c>
    </row>
    <row r="8" customFormat="false" ht="18" hidden="false" customHeight="true" outlineLevel="0" collapsed="false">
      <c r="A8" s="19" t="s">
        <v>63</v>
      </c>
      <c r="B8" s="6" t="n">
        <v>2</v>
      </c>
      <c r="C8" s="7" t="n">
        <v>8.8</v>
      </c>
      <c r="D8" s="7" t="n">
        <v>4.4</v>
      </c>
      <c r="E8" s="8" t="n">
        <f aca="false">C8/SUM($C$3:$C$10)</f>
        <v>0.0130742259463957</v>
      </c>
      <c r="F8" s="19" t="s">
        <v>64</v>
      </c>
    </row>
    <row r="9" customFormat="false" ht="18" hidden="false" customHeight="true" outlineLevel="0" collapsed="false">
      <c r="A9" s="18" t="s">
        <v>65</v>
      </c>
      <c r="B9" s="9" t="n">
        <v>2</v>
      </c>
      <c r="C9" s="10" t="n">
        <v>4.82</v>
      </c>
      <c r="D9" s="10" t="n">
        <v>2.41</v>
      </c>
      <c r="E9" s="11" t="n">
        <f aca="false">C9/SUM($C$3:$C$10)</f>
        <v>0.00716111012063945</v>
      </c>
      <c r="F9" s="18" t="s">
        <v>66</v>
      </c>
    </row>
    <row r="10" customFormat="false" ht="18" hidden="false" customHeight="true" outlineLevel="0" collapsed="false">
      <c r="A10" s="19" t="s">
        <v>67</v>
      </c>
      <c r="B10" s="6" t="n">
        <v>2</v>
      </c>
      <c r="C10" s="7" t="n">
        <v>3.3</v>
      </c>
      <c r="D10" s="7" t="n">
        <v>1.65</v>
      </c>
      <c r="E10" s="8" t="n">
        <f aca="false">C10/SUM($C$3:$C$10)</f>
        <v>0.00490283472989838</v>
      </c>
      <c r="F10" s="19" t="s">
        <v>68</v>
      </c>
    </row>
    <row r="11" customFormat="false" ht="15" hidden="false" customHeight="true" outlineLevel="0" collapsed="false">
      <c r="A11" s="16" t="s">
        <v>69</v>
      </c>
      <c r="B11" s="16" t="n">
        <f aca="false">SUM(B3:B10)</f>
        <v>391</v>
      </c>
      <c r="C11" s="17" t="n">
        <f aca="false">SUM(C3:C10)</f>
        <v>673.08</v>
      </c>
      <c r="D11" s="17" t="n">
        <f aca="false">C11/B11</f>
        <v>1.72143222506394</v>
      </c>
      <c r="E11" s="16" t="s">
        <v>14</v>
      </c>
      <c r="F11" s="16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6" min="5" style="1" width="18"/>
  </cols>
  <sheetData>
    <row r="1" customFormat="false" ht="31.5" hidden="false" customHeight="true" outlineLevel="0" collapsed="false">
      <c r="A1" s="14" t="s">
        <v>70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5" t="s">
        <v>71</v>
      </c>
      <c r="B2" s="5" t="s">
        <v>72</v>
      </c>
      <c r="C2" s="5" t="s">
        <v>38</v>
      </c>
      <c r="D2" s="5" t="s">
        <v>40</v>
      </c>
      <c r="E2" s="5" t="s">
        <v>41</v>
      </c>
      <c r="F2" s="5" t="s">
        <v>73</v>
      </c>
    </row>
    <row r="3" customFormat="false" ht="18" hidden="false" customHeight="true" outlineLevel="0" collapsed="false">
      <c r="A3" s="9" t="n">
        <v>1</v>
      </c>
      <c r="B3" s="9" t="s">
        <v>74</v>
      </c>
      <c r="C3" s="9" t="n">
        <v>164</v>
      </c>
      <c r="D3" s="10" t="n">
        <v>211.33</v>
      </c>
      <c r="E3" s="10" t="n">
        <v>1.29</v>
      </c>
      <c r="F3" s="11" t="n">
        <f aca="false">C3/SUM($C$3:$C$17)</f>
        <v>0.297640653357532</v>
      </c>
    </row>
    <row r="4" customFormat="false" ht="18" hidden="false" customHeight="true" outlineLevel="0" collapsed="false">
      <c r="A4" s="6" t="n">
        <v>2</v>
      </c>
      <c r="B4" s="6" t="s">
        <v>75</v>
      </c>
      <c r="C4" s="6" t="n">
        <v>58</v>
      </c>
      <c r="D4" s="7" t="n">
        <v>445.67</v>
      </c>
      <c r="E4" s="7" t="n">
        <v>7.68</v>
      </c>
      <c r="F4" s="8" t="n">
        <f aca="false">C4/SUM($C$3:$C$17)</f>
        <v>0.105263157894737</v>
      </c>
    </row>
    <row r="5" customFormat="false" ht="18" hidden="false" customHeight="true" outlineLevel="0" collapsed="false">
      <c r="A5" s="9" t="n">
        <v>3</v>
      </c>
      <c r="B5" s="9" t="s">
        <v>76</v>
      </c>
      <c r="C5" s="9" t="n">
        <v>51</v>
      </c>
      <c r="D5" s="10" t="n">
        <v>408.17</v>
      </c>
      <c r="E5" s="10" t="n">
        <v>8</v>
      </c>
      <c r="F5" s="11" t="n">
        <f aca="false">C5/SUM($C$3:$C$17)</f>
        <v>0.0925589836660617</v>
      </c>
    </row>
    <row r="6" customFormat="false" ht="18" hidden="false" customHeight="true" outlineLevel="0" collapsed="false">
      <c r="A6" s="6" t="n">
        <v>4</v>
      </c>
      <c r="B6" s="6" t="s">
        <v>77</v>
      </c>
      <c r="C6" s="6" t="n">
        <v>41</v>
      </c>
      <c r="D6" s="7" t="n">
        <v>164.11</v>
      </c>
      <c r="E6" s="7" t="n">
        <v>4</v>
      </c>
      <c r="F6" s="8" t="n">
        <f aca="false">C6/SUM($C$3:$C$17)</f>
        <v>0.0744101633393829</v>
      </c>
    </row>
    <row r="7" customFormat="false" ht="18" hidden="false" customHeight="true" outlineLevel="0" collapsed="false">
      <c r="A7" s="9" t="n">
        <v>5</v>
      </c>
      <c r="B7" s="9" t="s">
        <v>78</v>
      </c>
      <c r="C7" s="9" t="n">
        <v>33</v>
      </c>
      <c r="D7" s="10" t="n">
        <v>210.45</v>
      </c>
      <c r="E7" s="10" t="n">
        <v>6.38</v>
      </c>
      <c r="F7" s="11" t="n">
        <f aca="false">C7/SUM($C$3:$C$17)</f>
        <v>0.0598911070780399</v>
      </c>
    </row>
    <row r="8" customFormat="false" ht="18" hidden="false" customHeight="true" outlineLevel="0" collapsed="false">
      <c r="A8" s="6" t="n">
        <v>6</v>
      </c>
      <c r="B8" s="6" t="s">
        <v>79</v>
      </c>
      <c r="C8" s="6" t="n">
        <v>32</v>
      </c>
      <c r="D8" s="7" t="n">
        <v>145.76</v>
      </c>
      <c r="E8" s="7" t="n">
        <v>4.56</v>
      </c>
      <c r="F8" s="8" t="n">
        <f aca="false">C8/SUM($C$3:$C$17)</f>
        <v>0.0580762250453721</v>
      </c>
    </row>
    <row r="9" customFormat="false" ht="18" hidden="false" customHeight="true" outlineLevel="0" collapsed="false">
      <c r="A9" s="9" t="n">
        <v>7</v>
      </c>
      <c r="B9" s="9" t="s">
        <v>80</v>
      </c>
      <c r="C9" s="9" t="n">
        <v>32</v>
      </c>
      <c r="D9" s="10" t="n">
        <v>405.75</v>
      </c>
      <c r="E9" s="10" t="n">
        <v>12.68</v>
      </c>
      <c r="F9" s="11" t="n">
        <f aca="false">C9/SUM($C$3:$C$17)</f>
        <v>0.0580762250453721</v>
      </c>
    </row>
    <row r="10" customFormat="false" ht="18" hidden="false" customHeight="true" outlineLevel="0" collapsed="false">
      <c r="A10" s="6" t="n">
        <v>8</v>
      </c>
      <c r="B10" s="6" t="s">
        <v>81</v>
      </c>
      <c r="C10" s="6" t="n">
        <v>32</v>
      </c>
      <c r="D10" s="7" t="n">
        <v>263.05</v>
      </c>
      <c r="E10" s="7" t="n">
        <v>8.22</v>
      </c>
      <c r="F10" s="8" t="n">
        <f aca="false">C10/SUM($C$3:$C$17)</f>
        <v>0.0580762250453721</v>
      </c>
    </row>
    <row r="11" customFormat="false" ht="18" hidden="false" customHeight="true" outlineLevel="0" collapsed="false">
      <c r="A11" s="9" t="n">
        <v>9</v>
      </c>
      <c r="B11" s="9" t="s">
        <v>82</v>
      </c>
      <c r="C11" s="9" t="n">
        <v>23</v>
      </c>
      <c r="D11" s="10" t="n">
        <v>251.43</v>
      </c>
      <c r="E11" s="10" t="n">
        <v>10.93</v>
      </c>
      <c r="F11" s="11" t="n">
        <f aca="false">C11/SUM($C$3:$C$17)</f>
        <v>0.0417422867513612</v>
      </c>
    </row>
    <row r="12" customFormat="false" ht="18" hidden="false" customHeight="true" outlineLevel="0" collapsed="false">
      <c r="A12" s="6" t="n">
        <v>10</v>
      </c>
      <c r="B12" s="6" t="s">
        <v>83</v>
      </c>
      <c r="C12" s="6" t="n">
        <v>22</v>
      </c>
      <c r="D12" s="7" t="n">
        <v>105.41</v>
      </c>
      <c r="E12" s="7" t="n">
        <v>4.79</v>
      </c>
      <c r="F12" s="8" t="n">
        <f aca="false">C12/SUM($C$3:$C$17)</f>
        <v>0.0399274047186933</v>
      </c>
    </row>
    <row r="13" customFormat="false" ht="18" hidden="false" customHeight="true" outlineLevel="0" collapsed="false">
      <c r="A13" s="9" t="n">
        <v>11</v>
      </c>
      <c r="B13" s="9" t="s">
        <v>84</v>
      </c>
      <c r="C13" s="9" t="n">
        <v>15</v>
      </c>
      <c r="D13" s="10" t="n">
        <v>175.97</v>
      </c>
      <c r="E13" s="10" t="n">
        <v>11.73</v>
      </c>
      <c r="F13" s="11" t="n">
        <f aca="false">C13/SUM($C$3:$C$17)</f>
        <v>0.0272232304900182</v>
      </c>
    </row>
    <row r="14" customFormat="false" ht="18" hidden="false" customHeight="true" outlineLevel="0" collapsed="false">
      <c r="A14" s="6" t="n">
        <v>12</v>
      </c>
      <c r="B14" s="6" t="s">
        <v>85</v>
      </c>
      <c r="C14" s="6" t="n">
        <v>15</v>
      </c>
      <c r="D14" s="7" t="n">
        <v>170.28</v>
      </c>
      <c r="E14" s="7" t="n">
        <v>11.35</v>
      </c>
      <c r="F14" s="8" t="n">
        <f aca="false">C14/SUM($C$3:$C$17)</f>
        <v>0.0272232304900182</v>
      </c>
    </row>
    <row r="15" customFormat="false" ht="18" hidden="false" customHeight="true" outlineLevel="0" collapsed="false">
      <c r="A15" s="9" t="n">
        <v>13</v>
      </c>
      <c r="B15" s="9" t="s">
        <v>86</v>
      </c>
      <c r="C15" s="9" t="n">
        <v>12</v>
      </c>
      <c r="D15" s="10" t="n">
        <v>51.78</v>
      </c>
      <c r="E15" s="10" t="n">
        <v>4.32</v>
      </c>
      <c r="F15" s="11" t="n">
        <f aca="false">C15/SUM($C$3:$C$17)</f>
        <v>0.0217785843920145</v>
      </c>
    </row>
    <row r="16" customFormat="false" ht="18" hidden="false" customHeight="true" outlineLevel="0" collapsed="false">
      <c r="A16" s="6" t="n">
        <v>14</v>
      </c>
      <c r="B16" s="6" t="s">
        <v>87</v>
      </c>
      <c r="C16" s="6" t="n">
        <v>11</v>
      </c>
      <c r="D16" s="7" t="n">
        <v>106.78</v>
      </c>
      <c r="E16" s="7" t="n">
        <v>9.71</v>
      </c>
      <c r="F16" s="8" t="n">
        <f aca="false">C16/SUM($C$3:$C$17)</f>
        <v>0.0199637023593466</v>
      </c>
    </row>
    <row r="17" customFormat="false" ht="18" hidden="false" customHeight="true" outlineLevel="0" collapsed="false">
      <c r="A17" s="9" t="n">
        <v>15</v>
      </c>
      <c r="B17" s="9" t="s">
        <v>88</v>
      </c>
      <c r="C17" s="9" t="n">
        <v>10</v>
      </c>
      <c r="D17" s="10" t="n">
        <v>116.04</v>
      </c>
      <c r="E17" s="10" t="n">
        <v>11.6</v>
      </c>
      <c r="F17" s="11" t="n">
        <f aca="false">C17/SUM($C$3:$C$17)</f>
        <v>0.0181488203266788</v>
      </c>
    </row>
    <row r="18" customFormat="false" ht="15" hidden="false" customHeight="true" outlineLevel="0" collapsed="false">
      <c r="A18" s="16"/>
      <c r="B18" s="16" t="s">
        <v>89</v>
      </c>
      <c r="C18" s="16" t="n">
        <f aca="false">SUM(C3:C17)</f>
        <v>551</v>
      </c>
      <c r="D18" s="17" t="n">
        <f aca="false">SUM(D3:D17)</f>
        <v>3231.98</v>
      </c>
      <c r="E18" s="17" t="n">
        <f aca="false">D18/C18</f>
        <v>5.86566243194192</v>
      </c>
      <c r="F18" s="20" t="n">
        <f aca="false">SUM(F3:F17)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4" min="3" style="1" width="24"/>
    <col collapsed="false" customWidth="true" hidden="false" outlineLevel="0" max="5" min="5" style="1" width="12"/>
  </cols>
  <sheetData>
    <row r="1" customFormat="false" ht="31.5" hidden="false" customHeight="true" outlineLevel="0" collapsed="false">
      <c r="A1" s="14" t="s">
        <v>90</v>
      </c>
      <c r="B1" s="14"/>
      <c r="C1" s="14"/>
      <c r="D1" s="14"/>
      <c r="E1" s="14"/>
    </row>
    <row r="2" customFormat="false" ht="15" hidden="false" customHeight="true" outlineLevel="0" collapsed="false">
      <c r="A2" s="21" t="s">
        <v>91</v>
      </c>
      <c r="B2" s="21"/>
      <c r="C2" s="21"/>
      <c r="D2" s="21"/>
      <c r="E2" s="21"/>
    </row>
    <row r="4" customFormat="false" ht="15" hidden="false" customHeight="true" outlineLevel="0" collapsed="false">
      <c r="A4" s="4" t="s">
        <v>92</v>
      </c>
      <c r="B4" s="4"/>
      <c r="C4" s="4"/>
      <c r="D4" s="4"/>
      <c r="E4" s="4"/>
    </row>
    <row r="6" customFormat="false" ht="18" hidden="false" customHeight="true" outlineLevel="0" collapsed="false">
      <c r="A6" s="22" t="s">
        <v>93</v>
      </c>
      <c r="B6" s="23" t="n">
        <v>4056.11</v>
      </c>
    </row>
    <row r="7" customFormat="false" ht="18" hidden="false" customHeight="true" outlineLevel="0" collapsed="false">
      <c r="A7" s="22" t="s">
        <v>94</v>
      </c>
      <c r="B7" s="24" t="n">
        <v>623</v>
      </c>
    </row>
    <row r="8" customFormat="false" ht="18" hidden="false" customHeight="true" outlineLevel="0" collapsed="false">
      <c r="A8" s="22" t="s">
        <v>95</v>
      </c>
      <c r="B8" s="23" t="n">
        <f aca="false">B6/B7</f>
        <v>6.51060995184591</v>
      </c>
    </row>
    <row r="9" customFormat="false" ht="18" hidden="false" customHeight="true" outlineLevel="0" collapsed="false">
      <c r="A9" s="22" t="s">
        <v>96</v>
      </c>
      <c r="B9" s="25" t="n">
        <v>0.126</v>
      </c>
    </row>
    <row r="10" customFormat="false" ht="18" hidden="false" customHeight="true" outlineLevel="0" collapsed="false">
      <c r="A10" s="22" t="s">
        <v>97</v>
      </c>
      <c r="B10" s="25" t="n">
        <v>0.16</v>
      </c>
    </row>
    <row r="12" customFormat="false" ht="15" hidden="false" customHeight="true" outlineLevel="0" collapsed="false">
      <c r="A12" s="4" t="s">
        <v>98</v>
      </c>
      <c r="B12" s="4"/>
      <c r="C12" s="4"/>
      <c r="D12" s="4"/>
      <c r="E12" s="4"/>
    </row>
    <row r="13" customFormat="false" ht="15" hidden="false" customHeight="true" outlineLevel="0" collapsed="false">
      <c r="A13" s="5" t="s">
        <v>99</v>
      </c>
      <c r="B13" s="5" t="s">
        <v>100</v>
      </c>
      <c r="C13" s="5" t="s">
        <v>101</v>
      </c>
      <c r="D13" s="5" t="s">
        <v>102</v>
      </c>
      <c r="E13" s="5" t="s">
        <v>103</v>
      </c>
    </row>
    <row r="14" customFormat="false" ht="18" hidden="false" customHeight="true" outlineLevel="0" collapsed="false">
      <c r="A14" s="19" t="s">
        <v>104</v>
      </c>
      <c r="B14" s="26" t="n">
        <v>0.04</v>
      </c>
      <c r="C14" s="27" t="n">
        <f aca="false">B6*B14</f>
        <v>162.2444</v>
      </c>
      <c r="D14" s="28" t="n">
        <f aca="false">C14*12</f>
        <v>1946.9328</v>
      </c>
      <c r="E14" s="6" t="s">
        <v>105</v>
      </c>
    </row>
    <row r="15" customFormat="false" ht="18" hidden="false" customHeight="true" outlineLevel="0" collapsed="false">
      <c r="A15" s="18" t="s">
        <v>106</v>
      </c>
      <c r="B15" s="29" t="n">
        <v>0.03</v>
      </c>
      <c r="C15" s="30" t="n">
        <f aca="false">B6*B15</f>
        <v>121.6833</v>
      </c>
      <c r="D15" s="31" t="n">
        <f aca="false">C15*12</f>
        <v>1460.1996</v>
      </c>
      <c r="E15" s="9" t="s">
        <v>107</v>
      </c>
    </row>
    <row r="16" customFormat="false" ht="18" hidden="false" customHeight="true" outlineLevel="0" collapsed="false">
      <c r="A16" s="19" t="s">
        <v>108</v>
      </c>
      <c r="B16" s="26" t="n">
        <v>0.04</v>
      </c>
      <c r="C16" s="27" t="n">
        <f aca="false">B6*B16</f>
        <v>162.2444</v>
      </c>
      <c r="D16" s="28" t="n">
        <f aca="false">C16*12</f>
        <v>1946.9328</v>
      </c>
      <c r="E16" s="6" t="s">
        <v>109</v>
      </c>
    </row>
    <row r="17" customFormat="false" ht="18" hidden="false" customHeight="true" outlineLevel="0" collapsed="false">
      <c r="A17" s="18" t="s">
        <v>110</v>
      </c>
      <c r="B17" s="29" t="n">
        <v>0.01</v>
      </c>
      <c r="C17" s="30" t="n">
        <f aca="false">B6*B17</f>
        <v>40.5611</v>
      </c>
      <c r="D17" s="31" t="n">
        <f aca="false">C17*12</f>
        <v>486.7332</v>
      </c>
      <c r="E17" s="9" t="s">
        <v>107</v>
      </c>
    </row>
    <row r="18" customFormat="false" ht="18" hidden="false" customHeight="true" outlineLevel="0" collapsed="false">
      <c r="A18" s="19" t="s">
        <v>111</v>
      </c>
      <c r="B18" s="26" t="n">
        <v>0.03</v>
      </c>
      <c r="C18" s="27" t="n">
        <f aca="false">B6*B18</f>
        <v>121.6833</v>
      </c>
      <c r="D18" s="28" t="n">
        <f aca="false">C18*12</f>
        <v>1460.1996</v>
      </c>
      <c r="E18" s="6" t="s">
        <v>105</v>
      </c>
    </row>
    <row r="19" customFormat="false" ht="15" hidden="false" customHeight="true" outlineLevel="0" collapsed="false">
      <c r="A19" s="16" t="s">
        <v>112</v>
      </c>
      <c r="B19" s="32" t="n">
        <f aca="false">SUM(B14:B18)</f>
        <v>0.15</v>
      </c>
      <c r="C19" s="17" t="n">
        <f aca="false">SUM(C14:C18)</f>
        <v>608.4165</v>
      </c>
      <c r="D19" s="17" t="n">
        <f aca="false">SUM(D14:D18)</f>
        <v>7300.998</v>
      </c>
      <c r="E19" s="16" t="s">
        <v>113</v>
      </c>
    </row>
  </sheetData>
  <mergeCells count="4">
    <mergeCell ref="A1:E1"/>
    <mergeCell ref="A2:E2"/>
    <mergeCell ref="A4:E4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2026-04-24T15:56:17Z</dcterms:created>
  <dc:creator>openpyxl</dc:creator>
  <dc:description/>
  <dc:language>en-US</dc:language>
  <cp:lastModifiedBy/>
  <dcterms:modified xsi:type="dcterms:W3CDTF">2026-04-24T15:56:34Z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